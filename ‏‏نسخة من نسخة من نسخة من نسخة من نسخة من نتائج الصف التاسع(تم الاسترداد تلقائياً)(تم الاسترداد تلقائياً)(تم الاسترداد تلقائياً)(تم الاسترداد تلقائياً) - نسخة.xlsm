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bidahPhysics\Documents\"/>
    </mc:Choice>
  </mc:AlternateContent>
  <xr:revisionPtr revIDLastSave="0" documentId="13_ncr:1_{97BD2781-5709-4D37-8F82-6AEBE6A60A4C}" xr6:coauthVersionLast="37" xr6:coauthVersionMax="37" xr10:uidLastSave="{00000000-0000-0000-0000-000000000000}"/>
  <bookViews>
    <workbookView xWindow="0" yWindow="0" windowWidth="15345" windowHeight="4485" xr2:uid="{DDF17DEF-7A40-40DD-A603-34ECC3E38386}"/>
  </bookViews>
  <sheets>
    <sheet name="A" sheetId="1" r:id="rId1"/>
    <sheet name="B" sheetId="2" r:id="rId2"/>
    <sheet name="C" sheetId="3" r:id="rId3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3" l="1"/>
  <c r="O2" i="3" s="1"/>
  <c r="N2" i="3" l="1"/>
  <c r="L3" i="2"/>
  <c r="M3" i="2" s="1"/>
  <c r="L4" i="2"/>
  <c r="M4" i="2" s="1"/>
  <c r="L2" i="2"/>
  <c r="N2" i="2" l="1"/>
  <c r="M2" i="2"/>
  <c r="N4" i="2"/>
  <c r="N3" i="2"/>
</calcChain>
</file>

<file path=xl/sharedStrings.xml><?xml version="1.0" encoding="utf-8"?>
<sst xmlns="http://schemas.openxmlformats.org/spreadsheetml/2006/main" count="125" uniqueCount="72">
  <si>
    <t>المادة</t>
  </si>
  <si>
    <t>الدرجة القصوى</t>
  </si>
  <si>
    <t>الدرجة</t>
  </si>
  <si>
    <t>قران</t>
  </si>
  <si>
    <t>إسلامية</t>
  </si>
  <si>
    <t xml:space="preserve">لغة عربية </t>
  </si>
  <si>
    <t>رياضيات</t>
  </si>
  <si>
    <t>علوم</t>
  </si>
  <si>
    <t xml:space="preserve">اجتماعيات </t>
  </si>
  <si>
    <t xml:space="preserve">كيمياء </t>
  </si>
  <si>
    <t>احياء</t>
  </si>
  <si>
    <t>فيزياء</t>
  </si>
  <si>
    <t xml:space="preserve">ختم المدرسة </t>
  </si>
  <si>
    <t>الأسم :</t>
  </si>
  <si>
    <t>رقم الجلوس :</t>
  </si>
  <si>
    <t>المحافظة :</t>
  </si>
  <si>
    <t xml:space="preserve">المدرسة: </t>
  </si>
  <si>
    <t>لغة انجليزية</t>
  </si>
  <si>
    <t>الأسم</t>
  </si>
  <si>
    <t>رقم الجلوس</t>
  </si>
  <si>
    <t xml:space="preserve">المدرسة </t>
  </si>
  <si>
    <t>المحافظة</t>
  </si>
  <si>
    <t>القران الكريم</t>
  </si>
  <si>
    <t xml:space="preserve">الإسلامية </t>
  </si>
  <si>
    <t>اللغة العربية</t>
  </si>
  <si>
    <t>اللغة الإنجلزية</t>
  </si>
  <si>
    <t xml:space="preserve">الرياضيات </t>
  </si>
  <si>
    <t>كيمياء</t>
  </si>
  <si>
    <t xml:space="preserve">فيزياء </t>
  </si>
  <si>
    <t xml:space="preserve">أحياء </t>
  </si>
  <si>
    <t>b</t>
  </si>
  <si>
    <t>اجتماعيات</t>
  </si>
  <si>
    <t>النتيجة :</t>
  </si>
  <si>
    <t>عمر بن الخطاب</t>
  </si>
  <si>
    <t>الأمانة - الثورة</t>
  </si>
  <si>
    <t>جواهر احمد صالح ذياب</t>
  </si>
  <si>
    <t>عبيدة علي أحمد الشرفي</t>
  </si>
  <si>
    <t>النهضة</t>
  </si>
  <si>
    <t>الأمانة الثورة</t>
  </si>
  <si>
    <t>المجموع</t>
  </si>
  <si>
    <t>النتيجة</t>
  </si>
  <si>
    <t xml:space="preserve"> علي أحمد الشرفي</t>
  </si>
  <si>
    <t>النسبة:</t>
  </si>
  <si>
    <t>تاريخ الإضافة</t>
  </si>
  <si>
    <t>وقت الإضافة</t>
  </si>
  <si>
    <t>النهضة الأهلية</t>
  </si>
  <si>
    <t>بــيــان درجــات الصــف</t>
  </si>
  <si>
    <t>c</t>
  </si>
  <si>
    <t>ناجح</t>
  </si>
  <si>
    <t>D</t>
  </si>
  <si>
    <t xml:space="preserve">النسبة </t>
  </si>
  <si>
    <t>ABCD</t>
  </si>
  <si>
    <t>obiidah3</t>
  </si>
  <si>
    <t>التاسع</t>
  </si>
  <si>
    <t>روان عبده علي صالح  المحمدي</t>
  </si>
  <si>
    <t xml:space="preserve">عمر بن الخطاب </t>
  </si>
  <si>
    <t>عبيدة  أحمد الشرفي</t>
  </si>
  <si>
    <t>الثورة</t>
  </si>
  <si>
    <t>ردينة علي مصلح علي الايوبي</t>
  </si>
  <si>
    <t>عمر ابن الخطاب</t>
  </si>
  <si>
    <t>الامانة</t>
  </si>
  <si>
    <t>ابرار محمد حسين يحيى حميد</t>
  </si>
  <si>
    <t>الامانة - الثورة</t>
  </si>
  <si>
    <t>ريم مطهر عبدالله محمد الارياني</t>
  </si>
  <si>
    <t>ليان مطهر عبدالله محمد الارياني</t>
  </si>
  <si>
    <t>المعتز بالله جمال محمد ضيف الله البعداني</t>
  </si>
  <si>
    <t>العلماء</t>
  </si>
  <si>
    <t>خالد وليد محمد لطف الاهدل</t>
  </si>
  <si>
    <t>عثمان بن عفان</t>
  </si>
  <si>
    <t>وداد محسن علي صالح معيض</t>
  </si>
  <si>
    <t>صفاء خالد يحيى محمد فرحان</t>
  </si>
  <si>
    <t>شهد وائل عبده محمد ناجي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</si>
</sst>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178"/>
      <scheme val="minor"/>
    </font>
    <font>
      <b/>
      <sz val="11"/>
      <color rgb="FF3F3F3F"/>
      <name val="Calibri"/>
      <family val="2"/>
      <charset val="178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1"/>
      <name val="PT Bold Heading"/>
      <charset val="178"/>
    </font>
    <font>
      <sz val="18"/>
      <color theme="1"/>
      <name val="PT Bold Heading"/>
      <charset val="178"/>
    </font>
    <font>
      <u/>
      <sz val="30"/>
      <color rgb="FFFF0000"/>
      <name val="PT Bold Heading"/>
      <charset val="178"/>
    </font>
    <font>
      <b/>
      <sz val="20"/>
      <color theme="1"/>
      <name val="Monotype Koufi"/>
      <charset val="178"/>
    </font>
    <font>
      <b/>
      <sz val="20"/>
      <color theme="1"/>
      <name val="Calibri"/>
      <family val="2"/>
      <scheme val="minor"/>
    </font>
    <font>
      <b/>
      <sz val="20"/>
      <color rgb="FF002060"/>
      <name val="Monotype Koufi"/>
      <charset val="178"/>
    </font>
    <font>
      <b/>
      <sz val="16"/>
      <color rgb="FF002060"/>
      <name val="Monotype Koufi"/>
      <charset val="178"/>
    </font>
    <font>
      <b/>
      <sz val="20"/>
      <color rgb="FF002060"/>
      <name val="PT Bold Heading"/>
      <charset val="178"/>
    </font>
    <font>
      <u/>
      <sz val="27"/>
      <color rgb="FFFF0000"/>
      <name val="PT Bold Heading"/>
      <charset val="178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/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3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/>
    <xf numFmtId="0" fontId="4" fillId="0" borderId="0" xfId="0" applyFont="1"/>
    <xf numFmtId="0" fontId="4" fillId="0" borderId="0" xfId="0" applyFont="1" applyAlignment="1"/>
    <xf numFmtId="14" fontId="0" fillId="0" borderId="0" xfId="0" applyNumberFormat="1"/>
    <xf numFmtId="19" fontId="0" fillId="0" borderId="0" xfId="0" applyNumberFormat="1"/>
    <xf numFmtId="10" fontId="0" fillId="0" borderId="0" xfId="0" applyNumberFormat="1"/>
    <xf numFmtId="0" fontId="12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8" fillId="3" borderId="3" xfId="1" applyFont="1" applyFill="1" applyBorder="1" applyAlignment="1">
      <alignment horizontal="center"/>
    </xf>
    <xf numFmtId="0" fontId="8" fillId="3" borderId="9" xfId="1" applyFont="1" applyFill="1" applyBorder="1" applyAlignment="1">
      <alignment horizontal="center"/>
    </xf>
    <xf numFmtId="0" fontId="8" fillId="3" borderId="2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0" fillId="3" borderId="6" xfId="1" applyFont="1" applyFill="1" applyBorder="1" applyAlignment="1">
      <alignment horizontal="center"/>
    </xf>
    <xf numFmtId="0" fontId="10" fillId="3" borderId="7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10" fontId="3" fillId="0" borderId="0" xfId="0" applyNumberFormat="1" applyFont="1" applyAlignment="1">
      <alignment horizontal="right"/>
    </xf>
    <xf numFmtId="0" fontId="8" fillId="3" borderId="6" xfId="1" applyFont="1" applyFill="1" applyBorder="1" applyAlignment="1">
      <alignment horizontal="center"/>
    </xf>
    <xf numFmtId="0" fontId="8" fillId="3" borderId="7" xfId="1" applyFont="1" applyFill="1" applyBorder="1" applyAlignment="1">
      <alignment horizontal="center"/>
    </xf>
    <xf numFmtId="0" fontId="8" fillId="3" borderId="5" xfId="1" applyFont="1" applyFill="1" applyBorder="1" applyAlignment="1">
      <alignment horizontal="center"/>
    </xf>
    <xf numFmtId="0" fontId="8" fillId="3" borderId="8" xfId="1" applyFont="1" applyFill="1" applyBorder="1" applyAlignment="1">
      <alignment horizontal="center"/>
    </xf>
    <xf numFmtId="0" fontId="7" fillId="3" borderId="6" xfId="1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0" fontId="11" fillId="3" borderId="3" xfId="1" applyFont="1" applyFill="1" applyBorder="1" applyAlignment="1">
      <alignment horizontal="center"/>
    </xf>
    <xf numFmtId="0" fontId="11" fillId="3" borderId="2" xfId="1" applyFont="1" applyFill="1" applyBorder="1" applyAlignment="1">
      <alignment horizontal="center"/>
    </xf>
    <xf numFmtId="0" fontId="11" fillId="3" borderId="9" xfId="1" applyFont="1" applyFill="1" applyBorder="1" applyAlignment="1">
      <alignment horizontal="center"/>
    </xf>
    <xf numFmtId="0" fontId="8" fillId="3" borderId="4" xfId="1" applyFont="1" applyFill="1" applyBorder="1" applyAlignment="1">
      <alignment horizontal="center"/>
    </xf>
    <xf numFmtId="0" fontId="6" fillId="0" borderId="0" xfId="0" applyFont="1" applyAlignment="1">
      <alignment horizontal="left"/>
    </xf>
  </cellXfs>
  <cellStyles count="2">
    <cellStyle name="إخراج" xfId="1" builtinId="21"/>
    <cellStyle name="عادي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3D588-3C50-4CCA-8B30-D7380927371F}">
  <sheetPr codeName="Worksheet____1">
    <pageSetUpPr fitToPage="1"/>
  </sheetPr>
  <dimension ref="A1:H30"/>
  <sheetViews>
    <sheetView tabSelected="1" topLeftCell="A11" workbookViewId="0">
      <selection activeCell="A19" sqref="A19:XFD19"/>
    </sheetView>
  </sheetViews>
  <sheetFormatPr defaultRowHeight="23.25" x14ac:dyDescent="0.35"/>
  <cols>
    <col min="1" max="1" width="7.42578125" style="1" customWidth="1"/>
    <col min="2" max="2" width="14.85546875" style="1" customWidth="1"/>
    <col min="3" max="3" width="14.28515625" style="1" customWidth="1"/>
    <col min="4" max="4" width="1" style="1" customWidth="1"/>
    <col min="5" max="5" width="16.42578125" style="1" customWidth="1"/>
    <col min="6" max="6" width="15.85546875" style="1" customWidth="1"/>
    <col min="7" max="7" width="9.28515625" style="1" customWidth="1"/>
    <col min="8" max="8" width="11.7109375" style="1" customWidth="1"/>
    <col min="9" max="16384" width="9.140625" style="1"/>
  </cols>
  <sheetData>
    <row r="1" spans="1:8" s="2" customFormat="1" ht="26.25" x14ac:dyDescent="0.4"/>
    <row r="2" spans="1:8" s="2" customFormat="1" ht="26.25" customHeight="1" x14ac:dyDescent="0.4">
      <c r="B2" s="27" t="s">
        <v>53</v>
      </c>
      <c r="C2" s="27"/>
      <c r="D2" s="27"/>
      <c r="E2" s="32" t="s">
        <v>46</v>
      </c>
      <c r="F2" s="32"/>
      <c r="G2" s="32"/>
      <c r="H2" s="32"/>
    </row>
    <row r="3" spans="1:8" s="2" customFormat="1" ht="26.25" customHeight="1" x14ac:dyDescent="0.4">
      <c r="B3" s="27"/>
      <c r="C3" s="27"/>
      <c r="D3" s="27"/>
      <c r="E3" s="32"/>
      <c r="F3" s="32"/>
      <c r="G3" s="32"/>
      <c r="H3" s="32"/>
    </row>
    <row r="4" spans="1:8" s="2" customFormat="1" ht="26.25" x14ac:dyDescent="0.4"/>
    <row r="5" spans="1:8" s="2" customFormat="1" ht="42.75" x14ac:dyDescent="1.1000000000000001">
      <c r="A5" s="11" t="s">
        <v>71</v>
      </c>
      <c r="B5" s="11"/>
      <c r="C5" s="11"/>
      <c r="D5" s="11"/>
      <c r="E5" s="11"/>
      <c r="F5" s="11"/>
      <c r="G5" s="11"/>
      <c r="H5" s="5" t="s">
        <v>13</v>
      </c>
    </row>
    <row r="6" spans="1:8" s="2" customFormat="1" ht="42.75" x14ac:dyDescent="1.1000000000000001">
      <c r="A6" s="10" t="s">
        <v>33</v>
      </c>
      <c r="B6" s="10"/>
      <c r="C6" s="4" t="s">
        <v>16</v>
      </c>
      <c r="D6" s="12">
        <v>32824</v>
      </c>
      <c r="E6" s="12"/>
      <c r="F6" s="12"/>
      <c r="G6" s="12" t="s">
        <v>14</v>
      </c>
      <c r="H6" s="12"/>
    </row>
    <row r="7" spans="1:8" s="2" customFormat="1" ht="42.75" x14ac:dyDescent="1.1000000000000001">
      <c r="A7" s="4"/>
      <c r="B7" s="4"/>
      <c r="C7" s="12" t="s">
        <v>62</v>
      </c>
      <c r="D7" s="12"/>
      <c r="E7" s="12"/>
      <c r="F7" s="12"/>
      <c r="G7" s="12"/>
      <c r="H7" s="5" t="s">
        <v>15</v>
      </c>
    </row>
    <row r="8" spans="1:8" s="2" customFormat="1" ht="26.25" x14ac:dyDescent="0.4"/>
    <row r="9" spans="1:8" s="2" customFormat="1" ht="36" x14ac:dyDescent="0.85">
      <c r="B9" s="20" t="s">
        <v>2</v>
      </c>
      <c r="C9" s="20"/>
      <c r="D9" s="18" t="s">
        <v>1</v>
      </c>
      <c r="E9" s="19"/>
      <c r="F9" s="20" t="s">
        <v>0</v>
      </c>
      <c r="G9" s="20"/>
      <c r="H9" s="20"/>
    </row>
    <row r="10" spans="1:8" s="2" customFormat="1" ht="36" x14ac:dyDescent="0.85">
      <c r="B10" s="22">
        <v>98</v>
      </c>
      <c r="C10" s="22"/>
      <c r="D10" s="22">
        <v>100</v>
      </c>
      <c r="E10" s="23"/>
      <c r="F10" s="26" t="s">
        <v>3</v>
      </c>
      <c r="G10" s="26"/>
      <c r="H10" s="26"/>
    </row>
    <row r="11" spans="1:8" s="2" customFormat="1" ht="36" x14ac:dyDescent="0.85">
      <c r="B11" s="24">
        <v>96</v>
      </c>
      <c r="C11" s="31"/>
      <c r="D11" s="24">
        <v>100</v>
      </c>
      <c r="E11" s="25"/>
      <c r="F11" s="26" t="s">
        <v>4</v>
      </c>
      <c r="G11" s="26"/>
      <c r="H11" s="26"/>
    </row>
    <row r="12" spans="1:8" s="2" customFormat="1" ht="36" x14ac:dyDescent="0.85">
      <c r="B12" s="14">
        <v>96</v>
      </c>
      <c r="C12" s="16"/>
      <c r="D12" s="14">
        <v>100</v>
      </c>
      <c r="E12" s="15"/>
      <c r="F12" s="26" t="s">
        <v>5</v>
      </c>
      <c r="G12" s="26"/>
      <c r="H12" s="26"/>
    </row>
    <row r="13" spans="1:8" s="2" customFormat="1" ht="36" x14ac:dyDescent="0.85">
      <c r="B13" s="14">
        <v>64</v>
      </c>
      <c r="C13" s="16"/>
      <c r="D13" s="14">
        <v>100</v>
      </c>
      <c r="E13" s="15"/>
      <c r="F13" s="26" t="s">
        <v>17</v>
      </c>
      <c r="G13" s="26"/>
      <c r="H13" s="26"/>
    </row>
    <row r="14" spans="1:8" s="2" customFormat="1" ht="36" x14ac:dyDescent="0.85">
      <c r="B14" s="14">
        <v>74</v>
      </c>
      <c r="C14" s="16"/>
      <c r="D14" s="14">
        <v>100</v>
      </c>
      <c r="E14" s="15"/>
      <c r="F14" s="26" t="s">
        <v>6</v>
      </c>
      <c r="G14" s="26"/>
      <c r="H14" s="26"/>
    </row>
    <row r="15" spans="1:8" s="2" customFormat="1" ht="36" x14ac:dyDescent="0.85">
      <c r="B15" s="14">
        <v>72</v>
      </c>
      <c r="C15" s="16"/>
      <c r="D15" s="14">
        <v>100</v>
      </c>
      <c r="E15" s="15"/>
      <c r="F15" s="26" t="s">
        <v>7</v>
      </c>
      <c r="G15" s="26"/>
      <c r="H15" s="26"/>
    </row>
    <row r="16" spans="1:8" s="2" customFormat="1" ht="36" x14ac:dyDescent="0.85">
      <c r="B16" s="14">
        <v>90</v>
      </c>
      <c r="C16" s="16"/>
      <c r="D16" s="14">
        <v>100</v>
      </c>
      <c r="E16" s="15"/>
      <c r="F16" s="26" t="s">
        <v>8</v>
      </c>
      <c r="G16" s="26"/>
      <c r="H16" s="26"/>
    </row>
    <row r="17" spans="1:8" s="2" customFormat="1" ht="36" hidden="1" customHeight="1" x14ac:dyDescent="0.85">
      <c r="B17" s="14">
        <v>90</v>
      </c>
      <c r="C17" s="16"/>
      <c r="D17" s="14">
        <v>100</v>
      </c>
      <c r="E17" s="15"/>
      <c r="F17" s="26" t="s">
        <v>9</v>
      </c>
      <c r="G17" s="26"/>
      <c r="H17" s="26"/>
    </row>
    <row r="18" spans="1:8" s="2" customFormat="1" ht="36" hidden="1" customHeight="1" x14ac:dyDescent="0.85">
      <c r="B18" s="14">
        <v>10</v>
      </c>
      <c r="C18" s="16"/>
      <c r="D18" s="14">
        <v>100</v>
      </c>
      <c r="E18" s="15"/>
      <c r="F18" s="26" t="s">
        <v>10</v>
      </c>
      <c r="G18" s="26"/>
      <c r="H18" s="26"/>
    </row>
    <row r="19" spans="1:8" s="2" customFormat="1" ht="36" hidden="1" customHeight="1" x14ac:dyDescent="0.85">
      <c r="B19" s="14">
        <v>111</v>
      </c>
      <c r="C19" s="16"/>
      <c r="D19" s="14">
        <v>100</v>
      </c>
      <c r="E19" s="15"/>
      <c r="F19" s="26" t="s">
        <v>11</v>
      </c>
      <c r="G19" s="26"/>
      <c r="H19" s="26"/>
    </row>
    <row r="20" spans="1:8" s="2" customFormat="1" ht="42.75" x14ac:dyDescent="1.1000000000000001">
      <c r="B20" s="28">
        <v>590</v>
      </c>
      <c r="C20" s="29"/>
      <c r="D20" s="28">
        <v>700</v>
      </c>
      <c r="E20" s="30"/>
      <c r="F20" s="20" t="s">
        <v>39</v>
      </c>
      <c r="G20" s="20"/>
      <c r="H20" s="20"/>
    </row>
    <row r="21" spans="1:8" s="2" customFormat="1" ht="26.25" x14ac:dyDescent="0.4">
      <c r="B21" s="17"/>
      <c r="C21" s="17"/>
      <c r="D21" s="17"/>
      <c r="E21" s="17"/>
      <c r="F21" s="17"/>
      <c r="G21" s="17"/>
    </row>
    <row r="22" spans="1:8" s="2" customFormat="1" ht="26.25" x14ac:dyDescent="0.4"/>
    <row r="23" spans="1:8" s="2" customFormat="1" ht="42.75" x14ac:dyDescent="1.1000000000000001">
      <c r="A23" s="21">
        <v>0.84289999999999998</v>
      </c>
      <c r="B23" s="21"/>
      <c r="C23" s="13" t="s">
        <v>42</v>
      </c>
      <c r="D23" s="13"/>
      <c r="E23" s="12" t="s">
        <v>48</v>
      </c>
      <c r="F23" s="12"/>
      <c r="G23" s="13" t="s">
        <v>32</v>
      </c>
      <c r="H23" s="13"/>
    </row>
    <row r="24" spans="1:8" s="2" customFormat="1" ht="26.25" x14ac:dyDescent="0.4"/>
    <row r="25" spans="1:8" s="2" customFormat="1" ht="42.75" x14ac:dyDescent="1.1000000000000001">
      <c r="A25" s="3"/>
      <c r="B25" s="5" t="s">
        <v>12</v>
      </c>
      <c r="C25" s="5"/>
    </row>
    <row r="26" spans="1:8" s="2" customFormat="1" ht="26.25" x14ac:dyDescent="0.4">
      <c r="B26" s="17"/>
      <c r="C26" s="17"/>
    </row>
    <row r="27" spans="1:8" s="2" customFormat="1" ht="26.25" x14ac:dyDescent="0.4"/>
    <row r="28" spans="1:8" s="2" customFormat="1" ht="26.25" x14ac:dyDescent="0.4"/>
    <row r="29" spans="1:8" s="2" customFormat="1" ht="26.25" x14ac:dyDescent="0.4"/>
    <row r="30" spans="1:8" s="2" customFormat="1" ht="26.25" x14ac:dyDescent="0.4"/>
  </sheetData>
  <mergeCells count="51">
    <mergeCell ref="G6:H6"/>
    <mergeCell ref="D6:F6"/>
    <mergeCell ref="F18:H18"/>
    <mergeCell ref="F19:H19"/>
    <mergeCell ref="F20:H20"/>
    <mergeCell ref="F13:H13"/>
    <mergeCell ref="F14:H14"/>
    <mergeCell ref="F15:H15"/>
    <mergeCell ref="F16:H16"/>
    <mergeCell ref="F17:H17"/>
    <mergeCell ref="B2:D3"/>
    <mergeCell ref="B18:C18"/>
    <mergeCell ref="B19:C19"/>
    <mergeCell ref="B20:C20"/>
    <mergeCell ref="B21:C21"/>
    <mergeCell ref="D19:E19"/>
    <mergeCell ref="D20:E20"/>
    <mergeCell ref="D21:E21"/>
    <mergeCell ref="B10:C10"/>
    <mergeCell ref="B11:C11"/>
    <mergeCell ref="D14:E14"/>
    <mergeCell ref="D15:E15"/>
    <mergeCell ref="B16:C16"/>
    <mergeCell ref="E2:H3"/>
    <mergeCell ref="F9:H9"/>
    <mergeCell ref="F10:H10"/>
    <mergeCell ref="B12:C12"/>
    <mergeCell ref="D10:E10"/>
    <mergeCell ref="D11:E11"/>
    <mergeCell ref="D12:E12"/>
    <mergeCell ref="B26:C26"/>
    <mergeCell ref="C23:D23"/>
    <mergeCell ref="E23:F23"/>
    <mergeCell ref="F11:H11"/>
    <mergeCell ref="F12:H12"/>
    <mergeCell ref="A6:B6"/>
    <mergeCell ref="A5:G5"/>
    <mergeCell ref="C7:G7"/>
    <mergeCell ref="G23:H23"/>
    <mergeCell ref="D13:E13"/>
    <mergeCell ref="B13:C13"/>
    <mergeCell ref="F21:G21"/>
    <mergeCell ref="D16:E16"/>
    <mergeCell ref="D17:E17"/>
    <mergeCell ref="B15:C15"/>
    <mergeCell ref="B17:C17"/>
    <mergeCell ref="B14:C14"/>
    <mergeCell ref="D9:E9"/>
    <mergeCell ref="B9:C9"/>
    <mergeCell ref="A23:B23"/>
    <mergeCell ref="D18:E18"/>
  </mergeCells>
  <pageMargins left="0.7" right="0.7" top="0.75" bottom="0.75" header="0.3" footer="0.3"/>
  <pageSetup paperSize="9" scale="88" fitToHeight="0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4C67E-ACFB-4BC8-A53D-E9329A371467}">
  <sheetPr codeName="Worksheet____2"/>
  <dimension ref="A1:P17"/>
  <sheetViews>
    <sheetView workbookViewId="0">
      <selection activeCell="F15" sqref="F15"/>
    </sheetView>
  </sheetViews>
  <sheetFormatPr defaultRowHeight="15" x14ac:dyDescent="0.25"/>
  <cols>
    <col min="1" max="1" width="22.140625" customWidth="1"/>
    <col min="2" max="2" width="11.42578125" customWidth="1"/>
    <col min="15" max="15" width="11.42578125" customWidth="1"/>
    <col min="16" max="16" width="11.7109375" customWidth="1"/>
  </cols>
  <sheetData>
    <row r="1" spans="1:16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7</v>
      </c>
      <c r="K1" t="s">
        <v>31</v>
      </c>
      <c r="L1" t="s">
        <v>39</v>
      </c>
      <c r="M1" t="s">
        <v>40</v>
      </c>
      <c r="N1" s="8" t="s">
        <v>50</v>
      </c>
      <c r="O1" s="8" t="s">
        <v>43</v>
      </c>
      <c r="P1" t="s">
        <v>44</v>
      </c>
    </row>
    <row r="2" spans="1:16" x14ac:dyDescent="0.25">
      <c r="A2" t="s">
        <v>35</v>
      </c>
      <c r="B2">
        <v>32749</v>
      </c>
      <c r="C2" t="s">
        <v>33</v>
      </c>
      <c r="D2" t="s">
        <v>34</v>
      </c>
      <c r="E2">
        <v>67</v>
      </c>
      <c r="F2">
        <v>69</v>
      </c>
      <c r="G2">
        <v>61</v>
      </c>
      <c r="H2">
        <v>55</v>
      </c>
      <c r="I2">
        <v>50</v>
      </c>
      <c r="J2">
        <v>57</v>
      </c>
      <c r="K2">
        <v>60</v>
      </c>
      <c r="L2">
        <f>SUM(E2:K2)</f>
        <v>419</v>
      </c>
      <c r="M2" t="str">
        <f>IF(L2&gt;=350,"ناجح","راسب")</f>
        <v>ناجح</v>
      </c>
      <c r="N2">
        <f>L2/7</f>
        <v>59.857142857142854</v>
      </c>
      <c r="O2" s="6">
        <v>45478</v>
      </c>
      <c r="P2" s="7">
        <v>0.35274305555555602</v>
      </c>
    </row>
    <row r="3" spans="1:16" x14ac:dyDescent="0.25">
      <c r="A3" t="s">
        <v>41</v>
      </c>
      <c r="B3">
        <v>12345</v>
      </c>
      <c r="C3" t="s">
        <v>37</v>
      </c>
      <c r="D3" t="s">
        <v>38</v>
      </c>
      <c r="E3">
        <v>50</v>
      </c>
      <c r="F3">
        <v>30</v>
      </c>
      <c r="G3">
        <v>25</v>
      </c>
      <c r="H3">
        <v>60</v>
      </c>
      <c r="I3">
        <v>70</v>
      </c>
      <c r="J3">
        <v>90</v>
      </c>
      <c r="K3">
        <v>55</v>
      </c>
      <c r="L3">
        <f>SUM(E3:K3)</f>
        <v>380</v>
      </c>
      <c r="M3" t="str">
        <f>IF(L3&gt;=350,"ناجح","راسب")</f>
        <v>ناجح</v>
      </c>
      <c r="N3">
        <f>L3/7</f>
        <v>54.285714285714285</v>
      </c>
      <c r="O3" s="6">
        <v>45479</v>
      </c>
      <c r="P3" s="7">
        <v>0.39440972222222198</v>
      </c>
    </row>
    <row r="4" spans="1:16" x14ac:dyDescent="0.25">
      <c r="A4" t="s">
        <v>36</v>
      </c>
      <c r="B4">
        <v>715068</v>
      </c>
      <c r="C4" t="s">
        <v>37</v>
      </c>
      <c r="D4" t="s">
        <v>38</v>
      </c>
      <c r="E4">
        <v>50</v>
      </c>
      <c r="F4">
        <v>30</v>
      </c>
      <c r="G4">
        <v>25</v>
      </c>
      <c r="H4">
        <v>60</v>
      </c>
      <c r="I4">
        <v>70</v>
      </c>
      <c r="J4">
        <v>90</v>
      </c>
      <c r="K4">
        <v>55</v>
      </c>
      <c r="L4">
        <f>SUM(E4:K4)</f>
        <v>380</v>
      </c>
      <c r="M4" t="str">
        <f>IF(L4&gt;=350,"ناجح","راسب")</f>
        <v>ناجح</v>
      </c>
      <c r="N4">
        <f>L4/7</f>
        <v>54.285714285714285</v>
      </c>
      <c r="O4" s="6">
        <v>45480</v>
      </c>
      <c r="P4" s="7">
        <v>0.436076388888889</v>
      </c>
    </row>
    <row r="5" spans="1:16" x14ac:dyDescent="0.25">
      <c r="A5" t="s">
        <v>36</v>
      </c>
      <c r="B5">
        <v>123456789</v>
      </c>
      <c r="C5" t="s">
        <v>45</v>
      </c>
      <c r="D5" t="s">
        <v>38</v>
      </c>
      <c r="E5">
        <v>50</v>
      </c>
      <c r="F5">
        <v>30</v>
      </c>
      <c r="G5">
        <v>25</v>
      </c>
      <c r="H5">
        <v>60</v>
      </c>
      <c r="I5">
        <v>70</v>
      </c>
      <c r="J5">
        <v>90</v>
      </c>
      <c r="K5">
        <v>55</v>
      </c>
      <c r="O5" s="6">
        <v>45481</v>
      </c>
      <c r="P5" s="7">
        <v>0.47774305555555552</v>
      </c>
    </row>
    <row r="6" spans="1:16" x14ac:dyDescent="0.25">
      <c r="A6" t="s">
        <v>54</v>
      </c>
      <c r="B6">
        <v>32798</v>
      </c>
      <c r="C6" t="s">
        <v>55</v>
      </c>
      <c r="D6" t="s">
        <v>34</v>
      </c>
      <c r="E6">
        <v>83</v>
      </c>
      <c r="F6">
        <v>86</v>
      </c>
      <c r="G6">
        <v>76</v>
      </c>
      <c r="H6">
        <v>64</v>
      </c>
      <c r="I6">
        <v>52</v>
      </c>
      <c r="J6">
        <v>62</v>
      </c>
      <c r="K6">
        <v>85</v>
      </c>
      <c r="L6">
        <v>508</v>
      </c>
      <c r="M6" t="s">
        <v>48</v>
      </c>
      <c r="N6" s="8">
        <v>0.72570000000000001</v>
      </c>
      <c r="O6" s="6">
        <v>45483</v>
      </c>
      <c r="P6" s="7">
        <v>0.3820601851851852</v>
      </c>
    </row>
    <row r="7" spans="1:16" x14ac:dyDescent="0.25">
      <c r="A7" t="s">
        <v>56</v>
      </c>
      <c r="B7">
        <v>1548</v>
      </c>
      <c r="C7" t="s">
        <v>45</v>
      </c>
      <c r="D7" t="s">
        <v>57</v>
      </c>
      <c r="E7">
        <v>50</v>
      </c>
      <c r="F7">
        <v>30</v>
      </c>
      <c r="G7">
        <v>25</v>
      </c>
      <c r="H7">
        <v>60</v>
      </c>
      <c r="I7">
        <v>70</v>
      </c>
      <c r="J7">
        <v>90</v>
      </c>
      <c r="K7">
        <v>55</v>
      </c>
      <c r="L7">
        <v>380</v>
      </c>
      <c r="M7" t="s">
        <v>48</v>
      </c>
      <c r="N7" s="8">
        <v>0.54290000000000005</v>
      </c>
      <c r="O7" s="6">
        <v>45483</v>
      </c>
      <c r="P7" s="7">
        <v>0.54766203703703698</v>
      </c>
    </row>
    <row r="8" spans="1:16" ht="16.5" customHeight="1" x14ac:dyDescent="0.25">
      <c r="A8" t="s">
        <v>56</v>
      </c>
      <c r="B8">
        <v>15548</v>
      </c>
      <c r="C8" t="s">
        <v>45</v>
      </c>
      <c r="D8" t="s">
        <v>57</v>
      </c>
      <c r="E8">
        <v>50</v>
      </c>
      <c r="F8">
        <v>30</v>
      </c>
      <c r="G8">
        <v>25</v>
      </c>
      <c r="H8">
        <v>60</v>
      </c>
      <c r="I8">
        <v>70</v>
      </c>
      <c r="J8">
        <v>90</v>
      </c>
      <c r="K8">
        <v>55</v>
      </c>
      <c r="L8">
        <v>380</v>
      </c>
      <c r="M8" t="s">
        <v>48</v>
      </c>
      <c r="N8" s="8">
        <v>0.54290000000000005</v>
      </c>
      <c r="O8" s="6">
        <v>45483</v>
      </c>
      <c r="P8" s="7">
        <v>0.72943287037037041</v>
      </c>
    </row>
    <row r="9" spans="1:16" x14ac:dyDescent="0.25">
      <c r="A9" t="s">
        <v>58</v>
      </c>
      <c r="B9">
        <v>32786</v>
      </c>
      <c r="C9" t="s">
        <v>59</v>
      </c>
      <c r="D9" t="s">
        <v>60</v>
      </c>
      <c r="E9">
        <v>67</v>
      </c>
      <c r="F9">
        <v>52</v>
      </c>
      <c r="G9">
        <v>64</v>
      </c>
      <c r="H9">
        <v>50</v>
      </c>
      <c r="I9">
        <v>50</v>
      </c>
      <c r="J9">
        <v>51</v>
      </c>
      <c r="K9">
        <v>65</v>
      </c>
      <c r="L9">
        <v>399</v>
      </c>
      <c r="M9" t="s">
        <v>48</v>
      </c>
      <c r="N9" s="8">
        <v>0.56999999999999995</v>
      </c>
      <c r="O9" s="6">
        <v>45486</v>
      </c>
      <c r="P9" s="7">
        <v>0.36547453703703708</v>
      </c>
    </row>
    <row r="10" spans="1:16" x14ac:dyDescent="0.25">
      <c r="A10" t="s">
        <v>61</v>
      </c>
      <c r="B10">
        <v>32698</v>
      </c>
      <c r="C10" t="s">
        <v>59</v>
      </c>
      <c r="D10" t="s">
        <v>62</v>
      </c>
      <c r="E10">
        <v>81</v>
      </c>
      <c r="F10">
        <v>89</v>
      </c>
      <c r="G10">
        <v>78</v>
      </c>
      <c r="H10">
        <v>71</v>
      </c>
      <c r="I10">
        <v>71</v>
      </c>
      <c r="J10">
        <v>66</v>
      </c>
      <c r="K10">
        <v>70</v>
      </c>
      <c r="L10">
        <v>526</v>
      </c>
      <c r="M10" t="s">
        <v>48</v>
      </c>
      <c r="N10" s="8">
        <v>0.75139999999999996</v>
      </c>
      <c r="O10" s="6">
        <v>45486</v>
      </c>
      <c r="P10" s="7">
        <v>0.54048611111111111</v>
      </c>
    </row>
    <row r="11" spans="1:16" x14ac:dyDescent="0.25">
      <c r="A11" t="s">
        <v>63</v>
      </c>
      <c r="B11">
        <v>32804</v>
      </c>
      <c r="C11" t="s">
        <v>33</v>
      </c>
      <c r="D11" t="s">
        <v>34</v>
      </c>
      <c r="E11">
        <v>83</v>
      </c>
      <c r="F11">
        <v>73</v>
      </c>
      <c r="G11">
        <v>78</v>
      </c>
      <c r="H11">
        <v>50</v>
      </c>
      <c r="I11">
        <v>54</v>
      </c>
      <c r="J11">
        <v>54</v>
      </c>
      <c r="K11">
        <v>80</v>
      </c>
      <c r="L11">
        <v>472</v>
      </c>
      <c r="M11" t="s">
        <v>48</v>
      </c>
      <c r="N11" s="8">
        <v>0.67430000000000001</v>
      </c>
      <c r="O11" s="6">
        <v>45487</v>
      </c>
      <c r="P11" s="7">
        <v>0.41248842592592588</v>
      </c>
    </row>
    <row r="12" spans="1:16" x14ac:dyDescent="0.25">
      <c r="A12" t="s">
        <v>64</v>
      </c>
      <c r="B12">
        <v>32867</v>
      </c>
      <c r="C12" t="s">
        <v>33</v>
      </c>
      <c r="D12" t="s">
        <v>34</v>
      </c>
      <c r="E12">
        <v>66</v>
      </c>
      <c r="F12">
        <v>65</v>
      </c>
      <c r="G12">
        <v>63</v>
      </c>
      <c r="H12">
        <v>50</v>
      </c>
      <c r="I12">
        <v>34</v>
      </c>
      <c r="J12">
        <v>50</v>
      </c>
      <c r="K12">
        <v>50</v>
      </c>
      <c r="L12">
        <v>378</v>
      </c>
      <c r="M12" t="s">
        <v>48</v>
      </c>
      <c r="N12" s="8">
        <v>0.54</v>
      </c>
      <c r="O12" s="6">
        <v>45487</v>
      </c>
      <c r="P12" s="7">
        <v>0.41478009259259258</v>
      </c>
    </row>
    <row r="13" spans="1:16" x14ac:dyDescent="0.25">
      <c r="A13" t="s">
        <v>65</v>
      </c>
      <c r="B13">
        <v>30377</v>
      </c>
      <c r="C13" t="s">
        <v>66</v>
      </c>
      <c r="D13" t="s">
        <v>62</v>
      </c>
      <c r="E13">
        <v>80</v>
      </c>
      <c r="F13">
        <v>75</v>
      </c>
      <c r="G13">
        <v>66</v>
      </c>
      <c r="H13">
        <v>74</v>
      </c>
      <c r="I13">
        <v>50</v>
      </c>
      <c r="J13">
        <v>66</v>
      </c>
      <c r="K13">
        <v>75</v>
      </c>
      <c r="L13">
        <v>486</v>
      </c>
      <c r="M13" t="s">
        <v>48</v>
      </c>
      <c r="N13" s="8">
        <v>0.69430000000000003</v>
      </c>
      <c r="O13" s="6">
        <v>45487</v>
      </c>
      <c r="P13" s="7">
        <v>0.45303240740740741</v>
      </c>
    </row>
    <row r="14" spans="1:16" x14ac:dyDescent="0.25">
      <c r="A14" t="s">
        <v>67</v>
      </c>
      <c r="B14">
        <v>30190</v>
      </c>
      <c r="C14" t="s">
        <v>68</v>
      </c>
      <c r="D14" t="s">
        <v>34</v>
      </c>
      <c r="E14">
        <v>53</v>
      </c>
      <c r="F14">
        <v>54</v>
      </c>
      <c r="G14">
        <v>62</v>
      </c>
      <c r="H14">
        <v>54</v>
      </c>
      <c r="I14">
        <v>50</v>
      </c>
      <c r="J14">
        <v>50</v>
      </c>
      <c r="K14">
        <v>56</v>
      </c>
      <c r="L14">
        <v>379</v>
      </c>
      <c r="M14" t="s">
        <v>48</v>
      </c>
      <c r="N14" s="8">
        <v>0.54139999999999999</v>
      </c>
      <c r="O14" s="6">
        <v>45489</v>
      </c>
      <c r="P14" s="7">
        <v>0.48649305555555555</v>
      </c>
    </row>
    <row r="15" spans="1:16" x14ac:dyDescent="0.25">
      <c r="A15" t="s">
        <v>69</v>
      </c>
      <c r="B15">
        <v>32918</v>
      </c>
      <c r="C15" t="s">
        <v>59</v>
      </c>
      <c r="D15" t="s">
        <v>34</v>
      </c>
      <c r="E15">
        <v>95</v>
      </c>
      <c r="F15">
        <v>78</v>
      </c>
      <c r="G15">
        <v>69</v>
      </c>
      <c r="H15">
        <v>50</v>
      </c>
      <c r="I15">
        <v>51</v>
      </c>
      <c r="J15">
        <v>62</v>
      </c>
      <c r="K15">
        <v>82</v>
      </c>
      <c r="L15">
        <v>487</v>
      </c>
      <c r="M15" t="s">
        <v>48</v>
      </c>
      <c r="N15" s="8">
        <v>0.69569999999999999</v>
      </c>
      <c r="O15" s="6">
        <v>45489</v>
      </c>
      <c r="P15" s="7">
        <v>0.49593749999999998</v>
      </c>
    </row>
    <row r="16" spans="1:16" x14ac:dyDescent="0.25">
      <c r="A16" t="s">
        <v>70</v>
      </c>
      <c r="B16">
        <v>32831</v>
      </c>
      <c r="C16" t="s">
        <v>33</v>
      </c>
      <c r="D16" t="s">
        <v>62</v>
      </c>
      <c r="E16">
        <v>90</v>
      </c>
      <c r="F16">
        <v>82</v>
      </c>
      <c r="G16">
        <v>81</v>
      </c>
      <c r="H16">
        <v>60</v>
      </c>
      <c r="I16">
        <v>58</v>
      </c>
      <c r="J16">
        <v>56</v>
      </c>
      <c r="K16">
        <v>88</v>
      </c>
      <c r="L16">
        <v>515</v>
      </c>
      <c r="M16" t="s">
        <v>48</v>
      </c>
      <c r="N16" s="8">
        <v>0.73570000000000002</v>
      </c>
      <c r="O16" s="6">
        <v>45489</v>
      </c>
      <c r="P16" s="7">
        <v>0.83871527777777777</v>
      </c>
    </row>
    <row r="17" spans="1:16" x14ac:dyDescent="0.25">
      <c r="A17" t="s">
        <v>71</v>
      </c>
      <c r="B17">
        <v>32824</v>
      </c>
      <c r="C17" t="s">
        <v>33</v>
      </c>
      <c r="D17" t="s">
        <v>62</v>
      </c>
      <c r="E17">
        <v>98</v>
      </c>
      <c r="F17">
        <v>96</v>
      </c>
      <c r="G17">
        <v>96</v>
      </c>
      <c r="H17">
        <v>64</v>
      </c>
      <c r="I17">
        <v>74</v>
      </c>
      <c r="J17">
        <v>72</v>
      </c>
      <c r="K17">
        <v>90</v>
      </c>
      <c r="L17">
        <v>590</v>
      </c>
      <c r="M17" t="s">
        <v>48</v>
      </c>
      <c r="N17" s="8">
        <v>0.84289999999999998</v>
      </c>
      <c r="O17" s="6">
        <v>45489</v>
      </c>
      <c r="P17" s="7">
        <v>0.84510416666666666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EE785-C70B-416C-9175-78712B2C03C7}">
  <sheetPr codeName="Worksheet____3"/>
  <dimension ref="A1:Q16"/>
  <sheetViews>
    <sheetView workbookViewId="0">
      <selection activeCell="A19" sqref="A19:XFD19"/>
    </sheetView>
  </sheetViews>
  <sheetFormatPr defaultRowHeight="15" x14ac:dyDescent="0.25"/>
  <cols>
    <col min="16" max="17" width="10.7109375" customWidth="1"/>
  </cols>
  <sheetData>
    <row r="1" spans="1:17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39</v>
      </c>
      <c r="N1" t="s">
        <v>50</v>
      </c>
      <c r="O1" t="s">
        <v>40</v>
      </c>
      <c r="P1" t="s">
        <v>43</v>
      </c>
      <c r="Q1" t="s">
        <v>44</v>
      </c>
    </row>
    <row r="2" spans="1:17" ht="57" x14ac:dyDescent="1.45">
      <c r="A2" t="s">
        <v>30</v>
      </c>
      <c r="B2" s="9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f>SUM(E2:L2)</f>
        <v>60</v>
      </c>
      <c r="N2">
        <f>M2/8</f>
        <v>7.5</v>
      </c>
      <c r="O2" t="str">
        <f>IF(M2&gt;=400,"ناجح","راسب")</f>
        <v>راسب</v>
      </c>
    </row>
    <row r="3" spans="1:17" ht="17.25" customHeight="1" x14ac:dyDescent="0.25">
      <c r="A3" t="s">
        <v>47</v>
      </c>
      <c r="B3">
        <v>0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P3" s="6">
        <v>45482</v>
      </c>
      <c r="Q3" s="7">
        <v>0.52351851851851849</v>
      </c>
    </row>
    <row r="4" spans="1:17" x14ac:dyDescent="0.25">
      <c r="A4" t="s">
        <v>49</v>
      </c>
      <c r="B4">
        <v>123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P4" s="6">
        <v>45482</v>
      </c>
      <c r="Q4" s="7">
        <v>0.78327546296296291</v>
      </c>
    </row>
    <row r="5" spans="1:17" x14ac:dyDescent="0.25">
      <c r="A5" t="s">
        <v>51</v>
      </c>
      <c r="B5">
        <v>112</v>
      </c>
      <c r="C5">
        <v>351</v>
      </c>
      <c r="D5">
        <v>351</v>
      </c>
      <c r="E5">
        <v>53</v>
      </c>
      <c r="F5">
        <v>13</v>
      </c>
      <c r="G5">
        <v>16</v>
      </c>
      <c r="H5">
        <v>9</v>
      </c>
      <c r="I5">
        <v>80</v>
      </c>
      <c r="J5">
        <v>90</v>
      </c>
      <c r="K5">
        <v>111</v>
      </c>
      <c r="L5">
        <v>10</v>
      </c>
      <c r="P5" s="6">
        <v>45482</v>
      </c>
      <c r="Q5" s="7">
        <v>0.87604166666666661</v>
      </c>
    </row>
    <row r="6" spans="1:17" x14ac:dyDescent="0.25">
      <c r="A6" t="s">
        <v>52</v>
      </c>
      <c r="B6">
        <v>550201</v>
      </c>
      <c r="C6">
        <v>35010</v>
      </c>
      <c r="D6">
        <v>351</v>
      </c>
      <c r="E6">
        <v>53</v>
      </c>
      <c r="F6">
        <v>1030</v>
      </c>
      <c r="G6">
        <v>106</v>
      </c>
      <c r="H6">
        <v>900</v>
      </c>
      <c r="I6">
        <v>800</v>
      </c>
      <c r="J6">
        <v>90</v>
      </c>
      <c r="K6">
        <v>1011</v>
      </c>
      <c r="L6">
        <v>100</v>
      </c>
      <c r="P6" s="6">
        <v>45482</v>
      </c>
      <c r="Q6" s="7">
        <v>0.8919097222222222</v>
      </c>
    </row>
    <row r="15" spans="1:17" hidden="1" x14ac:dyDescent="0.25"/>
    <row r="16" spans="1:17" hidden="1" x14ac:dyDescent="0.25"/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3</vt:i4>
      </vt:variant>
    </vt:vector>
  </HeadingPairs>
  <TitlesOfParts>
    <vt:vector size="3" baseType="lpstr">
      <vt:lpstr>A</vt:lpstr>
      <vt:lpstr>B</vt:lpstr>
      <vt:lpstr>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ObidahPhysics</dc:creator>
  <cp:lastModifiedBy>ObidahPhysics</cp:lastModifiedBy>
  <cp:lastPrinted>2024-07-16T17:16:59Z</cp:lastPrinted>
  <dcterms:created xsi:type="dcterms:W3CDTF">2024-06-30T08:19:40Z</dcterms:created>
  <dcterms:modified xsi:type="dcterms:W3CDTF">2024-07-16T17:25:39Z</dcterms:modified>
</cp:coreProperties>
</file>